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3"/>
  </bookViews>
  <sheets>
    <sheet name="Schema" sheetId="1" r:id="rId1"/>
    <sheet name="Schema Coffe" sheetId="4" r:id="rId2"/>
    <sheet name="C. Datos" sheetId="2" r:id="rId3"/>
    <sheet name="C. Datos Coff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<sst xmlns="http://schemas.openxmlformats.org/spreadsheetml/2006/main" count="344" uniqueCount="126">
  <si>
    <t>2) Modelo Lógico: Schema</t>
  </si>
  <si>
    <t>Branches</t>
  </si>
  <si>
    <t>field</t>
  </si>
  <si>
    <t>type</t>
  </si>
  <si>
    <t>size</t>
  </si>
  <si>
    <t>unsigned</t>
  </si>
  <si>
    <t>AI</t>
  </si>
  <si>
    <t>NN</t>
  </si>
  <si>
    <t>PK</t>
  </si>
  <si>
    <t>FK</t>
  </si>
  <si>
    <t>Primary Key</t>
  </si>
  <si>
    <t>id</t>
  </si>
  <si>
    <t>int</t>
  </si>
  <si>
    <t>*</t>
  </si>
  <si>
    <t>Foreign Key</t>
  </si>
  <si>
    <t>code</t>
  </si>
  <si>
    <t>varchar</t>
  </si>
  <si>
    <t>address</t>
  </si>
  <si>
    <t>phone</t>
  </si>
  <si>
    <t>Employees</t>
  </si>
  <si>
    <t>rfc</t>
  </si>
  <si>
    <t>name</t>
  </si>
  <si>
    <t>lastname</t>
  </si>
  <si>
    <t>birthday</t>
  </si>
  <si>
    <t>date</t>
  </si>
  <si>
    <t>entrydate</t>
  </si>
  <si>
    <t>branch_id</t>
  </si>
  <si>
    <t>Branches( id )</t>
  </si>
  <si>
    <t>Numérico</t>
  </si>
  <si>
    <t>Único</t>
  </si>
  <si>
    <t>Modelo Lógico: Schema</t>
  </si>
  <si>
    <t>User</t>
  </si>
  <si>
    <t>Auto Increment</t>
  </si>
  <si>
    <t>email</t>
  </si>
  <si>
    <t>Sale</t>
  </si>
  <si>
    <t>time</t>
  </si>
  <si>
    <t>total products</t>
  </si>
  <si>
    <t>total quantities</t>
  </si>
  <si>
    <t>total</t>
  </si>
  <si>
    <t>user_id</t>
  </si>
  <si>
    <t>User( id )</t>
  </si>
  <si>
    <t>Sale Detail</t>
  </si>
  <si>
    <t>cost</t>
  </si>
  <si>
    <t>quantity</t>
  </si>
  <si>
    <t>subtotal</t>
  </si>
  <si>
    <t>sale_id</t>
  </si>
  <si>
    <t>Sale ( id )</t>
  </si>
  <si>
    <t>product_id</t>
  </si>
  <si>
    <t>Product ( id )</t>
  </si>
  <si>
    <t>Product</t>
  </si>
  <si>
    <t>category</t>
  </si>
  <si>
    <t>description</t>
  </si>
  <si>
    <t>Post</t>
  </si>
  <si>
    <t>title</t>
  </si>
  <si>
    <t>content</t>
  </si>
  <si>
    <t>Product( id )</t>
  </si>
  <si>
    <t>Modelo Lógico: Catálogo de Datos</t>
  </si>
  <si>
    <t>id (PK)</t>
  </si>
  <si>
    <t>addresss</t>
  </si>
  <si>
    <t>CDMXSUR1</t>
  </si>
  <si>
    <t>Lagos 15</t>
  </si>
  <si>
    <t>CDMXSUR2</t>
  </si>
  <si>
    <t>Corregidora 20</t>
  </si>
  <si>
    <t>55 2020 3015</t>
  </si>
  <si>
    <t>GDLOTE1</t>
  </si>
  <si>
    <t>Bosques 25</t>
  </si>
  <si>
    <t>MTYNTE1</t>
  </si>
  <si>
    <t>Ríos 20</t>
  </si>
  <si>
    <t>55 1020 2028</t>
  </si>
  <si>
    <t>RFC</t>
  </si>
  <si>
    <t>branch_id (FK)</t>
  </si>
  <si>
    <t>JORO7581AZ</t>
  </si>
  <si>
    <t>Joshua</t>
  </si>
  <si>
    <t>Rodríguez</t>
  </si>
  <si>
    <t>2009-12-11</t>
  </si>
  <si>
    <t>2021-06-15</t>
  </si>
  <si>
    <t>55 7175 4350</t>
  </si>
  <si>
    <t>AUFE4529AZ</t>
  </si>
  <si>
    <t>Aurora</t>
  </si>
  <si>
    <t>Fernández</t>
  </si>
  <si>
    <t>1990-05-11</t>
  </si>
  <si>
    <t>2022-04-03</t>
  </si>
  <si>
    <t>56 6340 7207</t>
  </si>
  <si>
    <t>JUFE5395NZ</t>
  </si>
  <si>
    <t>Juan</t>
  </si>
  <si>
    <t>2013-04-03</t>
  </si>
  <si>
    <t>2020-11-20</t>
  </si>
  <si>
    <t>55 6429 3880</t>
  </si>
  <si>
    <t>ALPE6098OZ</t>
  </si>
  <si>
    <t>Alberto</t>
  </si>
  <si>
    <t>Pérez</t>
  </si>
  <si>
    <t>1996-09-01</t>
  </si>
  <si>
    <t>2023-10-28</t>
  </si>
  <si>
    <t>56 2520 8284</t>
  </si>
  <si>
    <t>RAPE8157LZ</t>
  </si>
  <si>
    <t>Raquel</t>
  </si>
  <si>
    <t>1992-06-21</t>
  </si>
  <si>
    <t>2021-04-20</t>
  </si>
  <si>
    <t>56 6703 6629</t>
  </si>
  <si>
    <t>NALO5337YZ</t>
  </si>
  <si>
    <t>Nataly</t>
  </si>
  <si>
    <t>López</t>
  </si>
  <si>
    <t>2013-03-01</t>
  </si>
  <si>
    <t>2020-05-19</t>
  </si>
  <si>
    <t>55 8520 1983</t>
  </si>
  <si>
    <t>ALHE6325OZ</t>
  </si>
  <si>
    <t>Alejandro</t>
  </si>
  <si>
    <t>Hernández</t>
  </si>
  <si>
    <t>2017-11-14</t>
  </si>
  <si>
    <t>2022-12-23</t>
  </si>
  <si>
    <t>56 3627 6284</t>
  </si>
  <si>
    <t>ROPE2654OZ</t>
  </si>
  <si>
    <t>Rodrigo</t>
  </si>
  <si>
    <t>Peláez</t>
  </si>
  <si>
    <t>2000-03-18</t>
  </si>
  <si>
    <t>2022-11-12</t>
  </si>
  <si>
    <t>56 6608 9170</t>
  </si>
  <si>
    <t>alejandro</t>
  </si>
  <si>
    <t xml:space="preserve">hernandez </t>
  </si>
  <si>
    <t>arq.alejandroh@gmail.com</t>
  </si>
  <si>
    <t>Sale detail</t>
  </si>
  <si>
    <t>Café Latte</t>
  </si>
  <si>
    <t>bebida</t>
  </si>
  <si>
    <t>Suave espresso con leche vaporizada y una pequeña capa de espuma. Perfecto para comenzar el día.</t>
  </si>
  <si>
    <t>Excelente café latte</t>
  </si>
  <si>
    <t>El mejor café latte que he probado. Suave, bien balanceado y a la temperatura perfecta.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</si>
</sst>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9"/>
      <name val="Calibri"/>
      <charset val="134"/>
      <scheme val="minor"/>
    </font>
    <font>
      <sz val="9"/>
      <color rgb="FF002060"/>
      <name val="JetBrains Mono"/>
      <charset val="134"/>
    </font>
    <font>
      <sz val="11"/>
      <color theme="1"/>
      <name val="JetBrains Mono"/>
      <charset val="134"/>
    </font>
    <font>
      <u/>
      <sz val="11"/>
      <color rgb="FF0000FF"/>
      <name val="Calibri"/>
      <charset val="0"/>
      <scheme val="minor"/>
    </font>
    <font>
      <sz val="9"/>
      <color theme="1"/>
      <name val="JetBrains Mono"/>
      <charset val="134"/>
    </font>
    <font>
      <b/>
      <sz val="11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BC9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/>
    <xf numFmtId="0" fontId="6" fillId="0" borderId="1" xfId="0" applyFont="1" applyBorder="1"/>
    <xf numFmtId="0" fontId="0" fillId="0" borderId="1" xfId="0" applyBorder="1"/>
    <xf numFmtId="0" fontId="7" fillId="0" borderId="1" xfId="6" applyBorder="1"/>
    <xf numFmtId="0" fontId="8" fillId="0" borderId="1" xfId="0" applyFont="1" applyBorder="1"/>
    <xf numFmtId="0" fontId="2" fillId="2" borderId="0" xfId="0" applyFont="1" applyFill="1"/>
    <xf numFmtId="0" fontId="0" fillId="0" borderId="1" xfId="0" applyBorder="1" applyAlignment="1">
      <alignment vertical="center"/>
    </xf>
    <xf numFmtId="58" fontId="0" fillId="0" borderId="1" xfId="0" applyNumberFormat="1" applyBorder="1"/>
    <xf numFmtId="35" fontId="8" fillId="0" borderId="1" xfId="0" applyNumberFormat="1" applyFont="1" applyBorder="1"/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C3A4E1"/>
      <color rgb="00311748"/>
      <color rgb="00DBC9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318135</xdr:colOff>
      <xdr:row>9</xdr:row>
      <xdr:rowOff>94615</xdr:rowOff>
    </xdr:from>
    <xdr:to>
      <xdr:col>9</xdr:col>
      <xdr:colOff>524510</xdr:colOff>
      <xdr:row>14</xdr:row>
      <xdr:rowOff>94615</xdr:rowOff>
    </xdr:to>
    <xdr:cxnSp>
      <xdr:nvCxnSpPr>
        <xdr:cNvPr id="2" name="Elbow Connector 1"/>
        <xdr:cNvCxnSpPr/>
      </xdr:nvCxnSpPr>
      <xdr:spPr>
        <a:xfrm>
          <a:off x="1438910" y="1913890"/>
          <a:ext cx="6069965" cy="952500"/>
        </a:xfrm>
        <a:prstGeom prst="bentConnector3">
          <a:avLst>
            <a:gd name="adj1" fmla="val 99978"/>
          </a:avLst>
        </a:prstGeom>
        <a:ln w="31750" cap="rnd">
          <a:solidFill>
            <a:srgbClr val="311748"/>
          </a:solidFill>
          <a:round/>
          <a:headEnd type="oval"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rq.alejandro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B3:L27"/>
  <sheetViews>
    <sheetView zoomScale="160" zoomScaleNormal="160" topLeftCell="A3" workbookViewId="0">
      <selection activeCell="F22" sqref="F22"/>
    </sheetView>
  </sheetViews>
  <sheetFormatPr defaultColWidth="9" defaultRowHeight="15"/>
  <cols>
    <col min="1" max="1" width="3.63809523809524" customWidth="1"/>
    <col min="2" max="2" width="13.0952380952381" customWidth="1"/>
    <col min="3" max="3" width="10.2857142857143" customWidth="1"/>
    <col min="4" max="4" width="7.81904761904762" customWidth="1"/>
    <col min="5" max="6" width="8.36190476190476" customWidth="1"/>
    <col min="7" max="7" width="3.42857142857143" customWidth="1"/>
    <col min="8" max="9" width="3.54285714285714" customWidth="1"/>
    <col min="10" max="10" width="15.4285714285714" customWidth="1"/>
    <col min="12" max="12" width="11.5428571428571" customWidth="1"/>
  </cols>
  <sheetData>
    <row r="3" ht="23.25" spans="2:12">
      <c r="B3" s="1" t="s">
        <v>0</v>
      </c>
    </row>
    <row r="5" spans="2:12">
      <c r="B5" s="2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L5" t="s">
        <v>10</v>
      </c>
    </row>
    <row r="6" spans="2:12">
      <c r="B6" s="14"/>
      <c r="C6" s="15" t="s">
        <v>11</v>
      </c>
      <c r="D6" s="11" t="s">
        <v>12</v>
      </c>
      <c r="E6" s="11"/>
      <c r="F6" s="16" t="s">
        <v>13</v>
      </c>
      <c r="G6" s="16" t="s">
        <v>13</v>
      </c>
      <c r="H6" s="16" t="s">
        <v>13</v>
      </c>
      <c r="I6" s="16" t="s">
        <v>13</v>
      </c>
      <c r="J6" s="11"/>
      <c r="L6" t="s">
        <v>14</v>
      </c>
    </row>
    <row r="7" spans="2:12">
      <c r="B7" s="14"/>
      <c r="C7" s="11" t="s">
        <v>15</v>
      </c>
      <c r="D7" s="11" t="s">
        <v>16</v>
      </c>
      <c r="E7" s="11">
        <v>10</v>
      </c>
      <c r="F7" s="16"/>
      <c r="G7" s="16"/>
      <c r="H7" s="16" t="s">
        <v>13</v>
      </c>
      <c r="I7" s="16"/>
      <c r="J7" s="11"/>
    </row>
    <row r="8" spans="2:12">
      <c r="B8" s="14"/>
      <c r="C8" s="11" t="s">
        <v>17</v>
      </c>
      <c r="D8" s="11" t="s">
        <v>16</v>
      </c>
      <c r="E8" s="11">
        <v>120</v>
      </c>
      <c r="F8" s="11"/>
      <c r="G8" s="11"/>
      <c r="H8" s="16" t="s">
        <v>13</v>
      </c>
      <c r="I8" s="16"/>
      <c r="J8" s="11"/>
    </row>
    <row r="9" spans="2:12">
      <c r="B9" s="14"/>
      <c r="C9" s="11" t="s">
        <v>18</v>
      </c>
      <c r="D9" s="11" t="s">
        <v>16</v>
      </c>
      <c r="E9" s="11">
        <v>15</v>
      </c>
      <c r="F9" s="11"/>
      <c r="G9" s="11"/>
      <c r="H9" s="16"/>
      <c r="I9" s="16"/>
      <c r="J9" s="11"/>
    </row>
    <row r="10" spans="2:12">
      <c r="B10" s="14"/>
      <c r="C10" s="14"/>
      <c r="D10" s="14"/>
      <c r="E10" s="14"/>
      <c r="F10" s="14"/>
      <c r="G10" s="14"/>
      <c r="H10" s="14"/>
      <c r="I10" s="14"/>
      <c r="J10" s="14"/>
    </row>
    <row r="11" spans="2:12">
      <c r="B11" s="14"/>
      <c r="C11" s="14"/>
      <c r="D11" s="14"/>
      <c r="E11" s="14"/>
      <c r="F11" s="14"/>
      <c r="G11" s="14"/>
      <c r="H11" s="14"/>
      <c r="I11" s="14"/>
      <c r="J11" s="14"/>
    </row>
    <row r="12" spans="2:12">
      <c r="B12" s="2" t="s">
        <v>19</v>
      </c>
      <c r="C12" s="4" t="s">
        <v>2</v>
      </c>
      <c r="D12" s="4" t="s">
        <v>3</v>
      </c>
      <c r="E12" s="4" t="s">
        <v>4</v>
      </c>
      <c r="F12" s="4" t="s">
        <v>5</v>
      </c>
      <c r="G12" s="4" t="s">
        <v>6</v>
      </c>
      <c r="H12" s="4" t="s">
        <v>7</v>
      </c>
      <c r="I12" s="4" t="s">
        <v>8</v>
      </c>
      <c r="J12" s="4" t="s">
        <v>9</v>
      </c>
    </row>
    <row r="13" spans="2:12">
      <c r="B13" s="14"/>
      <c r="C13" s="15" t="s">
        <v>11</v>
      </c>
      <c r="D13" s="11" t="s">
        <v>12</v>
      </c>
      <c r="E13" s="11"/>
      <c r="F13" s="16" t="s">
        <v>13</v>
      </c>
      <c r="G13" s="16" t="s">
        <v>13</v>
      </c>
      <c r="H13" s="16" t="s">
        <v>13</v>
      </c>
      <c r="I13" s="16" t="s">
        <v>13</v>
      </c>
      <c r="J13" s="11"/>
    </row>
    <row r="14" spans="2:12">
      <c r="B14" s="14"/>
      <c r="C14" s="11" t="s">
        <v>20</v>
      </c>
      <c r="D14" s="11" t="s">
        <v>16</v>
      </c>
      <c r="E14" s="11">
        <v>22</v>
      </c>
      <c r="F14" s="16"/>
      <c r="G14" s="16"/>
      <c r="H14" s="16" t="s">
        <v>13</v>
      </c>
      <c r="I14" s="16"/>
      <c r="J14" s="11"/>
    </row>
    <row r="15" spans="2:12">
      <c r="B15" s="14"/>
      <c r="C15" s="11" t="s">
        <v>21</v>
      </c>
      <c r="D15" s="11" t="s">
        <v>16</v>
      </c>
      <c r="E15" s="11">
        <v>50</v>
      </c>
      <c r="F15" s="16"/>
      <c r="G15" s="16"/>
      <c r="H15" s="16" t="s">
        <v>13</v>
      </c>
      <c r="I15" s="16"/>
      <c r="J15" s="11"/>
    </row>
    <row r="16" spans="2:12">
      <c r="B16" s="14"/>
      <c r="C16" s="11" t="s">
        <v>22</v>
      </c>
      <c r="D16" s="11" t="s">
        <v>16</v>
      </c>
      <c r="E16" s="11">
        <v>80</v>
      </c>
      <c r="F16" s="16"/>
      <c r="G16" s="16"/>
      <c r="H16" s="16" t="s">
        <v>13</v>
      </c>
      <c r="I16" s="16"/>
      <c r="J16" s="11"/>
    </row>
    <row r="17" spans="2:10">
      <c r="B17" s="14"/>
      <c r="C17" s="11" t="s">
        <v>23</v>
      </c>
      <c r="D17" s="11" t="s">
        <v>24</v>
      </c>
      <c r="E17" s="11"/>
      <c r="F17" s="16"/>
      <c r="G17" s="16"/>
      <c r="H17" s="16" t="s">
        <v>13</v>
      </c>
      <c r="I17" s="16"/>
      <c r="J17" s="11"/>
    </row>
    <row r="18" spans="2:10">
      <c r="B18" s="14"/>
      <c r="C18" s="11" t="s">
        <v>25</v>
      </c>
      <c r="D18" s="11" t="s">
        <v>24</v>
      </c>
      <c r="E18" s="11"/>
      <c r="F18" s="16"/>
      <c r="G18" s="16"/>
      <c r="H18" s="16" t="s">
        <v>13</v>
      </c>
      <c r="I18" s="16"/>
      <c r="J18" s="11"/>
    </row>
    <row r="19" spans="2:10">
      <c r="B19" s="14"/>
      <c r="C19" s="11" t="s">
        <v>18</v>
      </c>
      <c r="D19" s="11" t="s">
        <v>16</v>
      </c>
      <c r="E19" s="11">
        <v>15</v>
      </c>
      <c r="F19" s="16"/>
      <c r="G19" s="16"/>
      <c r="H19" s="16"/>
      <c r="I19" s="16"/>
      <c r="J19" s="11"/>
    </row>
    <row r="20" spans="2:10">
      <c r="B20" s="14"/>
      <c r="C20" s="17" t="s">
        <v>26</v>
      </c>
      <c r="D20" s="11" t="s">
        <v>12</v>
      </c>
      <c r="E20" s="11"/>
      <c r="F20" s="16" t="s">
        <v>13</v>
      </c>
      <c r="G20" s="16"/>
      <c r="H20" s="16" t="s">
        <v>13</v>
      </c>
      <c r="I20" s="16"/>
      <c r="J20" s="11" t="s">
        <v>27</v>
      </c>
    </row>
    <row r="24" spans="2:10">
      <c r="B24" t="s">
        <v>8</v>
      </c>
    </row>
    <row r="25" spans="2:10">
      <c r="C25" t="s">
        <v>28</v>
      </c>
    </row>
    <row r="26" spans="2:10">
      <c r="C26" t="s">
        <v>6</v>
      </c>
    </row>
    <row r="27" spans="2:10">
      <c r="C27" t="s">
        <v>29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B1:N38"/>
  <sheetViews>
    <sheetView zoomScale="130" zoomScaleNormal="130" topLeftCell="A7" workbookViewId="0">
      <selection activeCell="J20" sqref="J20"/>
    </sheetView>
  </sheetViews>
  <sheetFormatPr defaultColWidth="9" defaultRowHeight="15"/>
  <cols>
    <col min="1" max="1" width="3.63809523809524" customWidth="1"/>
    <col min="2" max="2" width="13.0952380952381" customWidth="1"/>
    <col min="3" max="3" width="14.4285714285714" customWidth="1"/>
    <col min="4" max="4" width="7.81904761904762" customWidth="1"/>
    <col min="5" max="6" width="8.36190476190476" customWidth="1"/>
    <col min="7" max="7" width="3.42857142857143" customWidth="1"/>
    <col min="8" max="9" width="3.54285714285714" customWidth="1"/>
    <col min="10" max="10" width="15.4285714285714" customWidth="1"/>
    <col min="11" max="11" width="5.26666666666667" customWidth="1"/>
    <col min="12" max="12" width="11.5428571428571" customWidth="1"/>
    <col min="13" max="13" width="3.85714285714286" customWidth="1"/>
  </cols>
  <sheetData>
    <row r="1" ht="23.25" spans="2:14">
      <c r="B1" s="1" t="s">
        <v>30</v>
      </c>
    </row>
    <row r="2" customFormat="1" spans="2:14">
      <c r="B2" s="2" t="s">
        <v>31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L2" t="s">
        <v>10</v>
      </c>
      <c r="M2" t="s">
        <v>8</v>
      </c>
      <c r="N2" t="s">
        <v>28</v>
      </c>
    </row>
    <row r="3" customFormat="1" spans="2:14">
      <c r="B3" s="14"/>
      <c r="C3" s="15" t="s">
        <v>11</v>
      </c>
      <c r="D3" s="11" t="s">
        <v>12</v>
      </c>
      <c r="E3" s="11"/>
      <c r="F3" s="16" t="s">
        <v>13</v>
      </c>
      <c r="G3" s="16" t="s">
        <v>13</v>
      </c>
      <c r="H3" s="16" t="s">
        <v>13</v>
      </c>
      <c r="I3" s="16" t="s">
        <v>13</v>
      </c>
      <c r="J3" s="11"/>
      <c r="N3" t="s">
        <v>32</v>
      </c>
    </row>
    <row r="4" customFormat="1" spans="2:14">
      <c r="B4" s="14"/>
      <c r="C4" s="11" t="s">
        <v>21</v>
      </c>
      <c r="D4" s="11" t="s">
        <v>16</v>
      </c>
      <c r="E4" s="11">
        <v>30</v>
      </c>
      <c r="F4" s="16"/>
      <c r="G4" s="16"/>
      <c r="H4" s="16" t="s">
        <v>13</v>
      </c>
      <c r="I4" s="16"/>
      <c r="J4" s="11"/>
      <c r="N4" t="s">
        <v>29</v>
      </c>
    </row>
    <row r="5" customFormat="1" spans="2:14">
      <c r="B5" s="14"/>
      <c r="C5" s="11" t="s">
        <v>22</v>
      </c>
      <c r="D5" s="11" t="s">
        <v>16</v>
      </c>
      <c r="E5" s="11">
        <v>30</v>
      </c>
      <c r="F5" s="16"/>
      <c r="G5" s="16"/>
      <c r="H5" s="16" t="s">
        <v>13</v>
      </c>
      <c r="I5" s="16"/>
      <c r="J5" s="11"/>
      <c r="L5" t="s">
        <v>14</v>
      </c>
    </row>
    <row r="6" customFormat="1" spans="2:14">
      <c r="B6" s="14"/>
      <c r="C6" s="11" t="s">
        <v>33</v>
      </c>
      <c r="D6" s="11" t="s">
        <v>16</v>
      </c>
      <c r="E6" s="11">
        <v>30</v>
      </c>
      <c r="F6" s="16"/>
      <c r="G6" s="16"/>
      <c r="H6" s="16" t="s">
        <v>13</v>
      </c>
      <c r="I6" s="16"/>
      <c r="J6" s="11"/>
    </row>
    <row r="8" spans="2:14">
      <c r="B8" s="2" t="s">
        <v>34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</row>
    <row r="9" spans="2:14">
      <c r="B9" s="14"/>
      <c r="C9" s="15" t="s">
        <v>11</v>
      </c>
      <c r="D9" s="11" t="s">
        <v>12</v>
      </c>
      <c r="E9" s="11"/>
      <c r="F9" s="16" t="s">
        <v>13</v>
      </c>
      <c r="G9" s="16" t="s">
        <v>13</v>
      </c>
      <c r="H9" s="16" t="s">
        <v>13</v>
      </c>
      <c r="I9" s="16" t="s">
        <v>13</v>
      </c>
      <c r="J9" s="11"/>
    </row>
    <row r="10" customFormat="1" spans="2:14">
      <c r="B10" s="14"/>
      <c r="C10" s="11" t="s">
        <v>24</v>
      </c>
      <c r="D10" s="11" t="s">
        <v>24</v>
      </c>
      <c r="E10" s="11"/>
      <c r="F10" s="16"/>
      <c r="G10" s="16"/>
      <c r="H10" s="16" t="s">
        <v>13</v>
      </c>
      <c r="I10" s="16"/>
      <c r="J10" s="11"/>
    </row>
    <row r="11" customFormat="1" spans="2:14">
      <c r="B11" s="14"/>
      <c r="C11" s="11" t="s">
        <v>35</v>
      </c>
      <c r="D11" s="11" t="s">
        <v>35</v>
      </c>
      <c r="E11" s="11"/>
      <c r="F11" s="16"/>
      <c r="G11" s="16"/>
      <c r="H11" s="16" t="s">
        <v>13</v>
      </c>
      <c r="I11" s="16"/>
      <c r="J11" s="11"/>
    </row>
    <row r="12" customFormat="1" spans="2:14">
      <c r="B12" s="14"/>
      <c r="C12" s="11" t="s">
        <v>36</v>
      </c>
      <c r="D12" s="11" t="s">
        <v>12</v>
      </c>
      <c r="E12" s="11"/>
      <c r="F12" s="16"/>
      <c r="G12" s="16"/>
      <c r="H12" s="16" t="s">
        <v>13</v>
      </c>
      <c r="I12" s="16"/>
      <c r="J12" s="11"/>
    </row>
    <row r="13" customFormat="1" spans="2:14">
      <c r="B13" s="14"/>
      <c r="C13" s="11" t="s">
        <v>37</v>
      </c>
      <c r="D13" s="11" t="s">
        <v>12</v>
      </c>
      <c r="E13" s="11"/>
      <c r="F13" s="16"/>
      <c r="G13" s="16"/>
      <c r="H13" s="16" t="s">
        <v>13</v>
      </c>
      <c r="I13" s="16"/>
      <c r="J13" s="11"/>
    </row>
    <row r="14" customFormat="1" spans="2:14">
      <c r="B14" s="14"/>
      <c r="C14" s="11" t="s">
        <v>38</v>
      </c>
      <c r="D14" s="11" t="s">
        <v>12</v>
      </c>
      <c r="E14" s="11"/>
      <c r="F14" s="16"/>
      <c r="G14" s="16"/>
      <c r="H14" s="16" t="s">
        <v>13</v>
      </c>
      <c r="I14" s="16"/>
      <c r="J14" s="11"/>
    </row>
    <row r="15" spans="2:14">
      <c r="B15" s="14"/>
      <c r="C15" s="11" t="s">
        <v>39</v>
      </c>
      <c r="D15" s="11" t="s">
        <v>12</v>
      </c>
      <c r="E15" s="11"/>
      <c r="F15" s="16" t="s">
        <v>13</v>
      </c>
      <c r="G15" s="16"/>
      <c r="H15" s="16" t="s">
        <v>13</v>
      </c>
      <c r="I15" s="16"/>
      <c r="J15" s="11" t="s">
        <v>40</v>
      </c>
    </row>
    <row r="17" customFormat="1" spans="2:10">
      <c r="B17" s="2" t="s">
        <v>41</v>
      </c>
      <c r="C17" s="4" t="s">
        <v>2</v>
      </c>
      <c r="D17" s="4" t="s">
        <v>3</v>
      </c>
      <c r="E17" s="4" t="s">
        <v>4</v>
      </c>
      <c r="F17" s="4" t="s">
        <v>5</v>
      </c>
      <c r="G17" s="4" t="s">
        <v>6</v>
      </c>
      <c r="H17" s="4" t="s">
        <v>7</v>
      </c>
      <c r="I17" s="4" t="s">
        <v>8</v>
      </c>
      <c r="J17" s="4" t="s">
        <v>9</v>
      </c>
    </row>
    <row r="18" customFormat="1" spans="2:10">
      <c r="B18" s="14"/>
      <c r="C18" s="15" t="s">
        <v>11</v>
      </c>
      <c r="D18" s="11" t="s">
        <v>12</v>
      </c>
      <c r="E18" s="11"/>
      <c r="F18" s="16" t="s">
        <v>13</v>
      </c>
      <c r="G18" s="16" t="s">
        <v>13</v>
      </c>
      <c r="H18" s="16" t="s">
        <v>13</v>
      </c>
      <c r="I18" s="16" t="s">
        <v>13</v>
      </c>
      <c r="J18" s="11"/>
    </row>
    <row r="19" customFormat="1" spans="2:10">
      <c r="B19" s="14"/>
      <c r="C19" s="11" t="s">
        <v>42</v>
      </c>
      <c r="D19" s="11" t="s">
        <v>12</v>
      </c>
      <c r="E19" s="11"/>
      <c r="F19" s="16" t="s">
        <v>13</v>
      </c>
      <c r="G19" s="16"/>
      <c r="H19" s="16" t="s">
        <v>13</v>
      </c>
      <c r="I19" s="16"/>
      <c r="J19" s="11"/>
    </row>
    <row r="20" customFormat="1" spans="2:10">
      <c r="B20" s="14"/>
      <c r="C20" s="11" t="s">
        <v>43</v>
      </c>
      <c r="D20" s="11" t="s">
        <v>12</v>
      </c>
      <c r="E20" s="11"/>
      <c r="F20" s="16" t="s">
        <v>13</v>
      </c>
      <c r="G20" s="16"/>
      <c r="H20" s="16" t="s">
        <v>13</v>
      </c>
      <c r="I20" s="16"/>
      <c r="J20" s="11"/>
    </row>
    <row r="21" customFormat="1" spans="2:10">
      <c r="B21" s="14"/>
      <c r="C21" s="11" t="s">
        <v>44</v>
      </c>
      <c r="D21" s="11" t="s">
        <v>12</v>
      </c>
      <c r="E21" s="11"/>
      <c r="F21" s="16" t="s">
        <v>13</v>
      </c>
      <c r="G21" s="16"/>
      <c r="H21" s="16" t="s">
        <v>13</v>
      </c>
      <c r="I21" s="16"/>
      <c r="J21" s="11"/>
    </row>
    <row r="22" customFormat="1" spans="2:10">
      <c r="B22" s="14"/>
      <c r="C22" s="11" t="s">
        <v>45</v>
      </c>
      <c r="D22" s="11" t="s">
        <v>12</v>
      </c>
      <c r="E22" s="11"/>
      <c r="F22" s="16" t="s">
        <v>13</v>
      </c>
      <c r="G22" s="16"/>
      <c r="H22" s="16" t="s">
        <v>13</v>
      </c>
      <c r="I22" s="16"/>
      <c r="J22" s="11" t="s">
        <v>46</v>
      </c>
    </row>
    <row r="23" customFormat="1" spans="2:10">
      <c r="B23" s="14"/>
      <c r="C23" s="11" t="s">
        <v>47</v>
      </c>
      <c r="D23" s="11" t="s">
        <v>12</v>
      </c>
      <c r="E23" s="11"/>
      <c r="F23" s="16" t="s">
        <v>13</v>
      </c>
      <c r="G23" s="16"/>
      <c r="H23" s="16" t="s">
        <v>13</v>
      </c>
      <c r="I23" s="16"/>
      <c r="J23" s="11" t="s">
        <v>48</v>
      </c>
    </row>
    <row r="24" customFormat="1"/>
    <row r="25" customFormat="1" spans="2:10">
      <c r="B25" s="2" t="s">
        <v>49</v>
      </c>
      <c r="C25" s="4" t="s">
        <v>2</v>
      </c>
      <c r="D25" s="4" t="s">
        <v>3</v>
      </c>
      <c r="E25" s="4" t="s">
        <v>4</v>
      </c>
      <c r="F25" s="4" t="s">
        <v>5</v>
      </c>
      <c r="G25" s="4" t="s">
        <v>6</v>
      </c>
      <c r="H25" s="4" t="s">
        <v>7</v>
      </c>
      <c r="I25" s="4" t="s">
        <v>8</v>
      </c>
      <c r="J25" s="4" t="s">
        <v>9</v>
      </c>
    </row>
    <row r="26" customFormat="1" spans="2:10">
      <c r="B26" s="14"/>
      <c r="C26" s="15" t="s">
        <v>11</v>
      </c>
      <c r="D26" s="11" t="s">
        <v>12</v>
      </c>
      <c r="E26" s="11"/>
      <c r="F26" s="16" t="s">
        <v>13</v>
      </c>
      <c r="G26" s="16" t="s">
        <v>13</v>
      </c>
      <c r="H26" s="16" t="s">
        <v>13</v>
      </c>
      <c r="I26" s="16" t="s">
        <v>13</v>
      </c>
      <c r="J26" s="11"/>
    </row>
    <row r="27" customFormat="1" spans="2:10">
      <c r="B27" s="14"/>
      <c r="C27" s="11" t="s">
        <v>21</v>
      </c>
      <c r="D27" s="11" t="s">
        <v>16</v>
      </c>
      <c r="E27" s="11">
        <v>30</v>
      </c>
      <c r="F27" s="16"/>
      <c r="G27" s="16"/>
      <c r="H27" s="16" t="s">
        <v>13</v>
      </c>
      <c r="I27" s="16"/>
      <c r="J27" s="11"/>
    </row>
    <row r="28" customFormat="1" spans="2:10">
      <c r="B28" s="14"/>
      <c r="C28" s="11" t="s">
        <v>50</v>
      </c>
      <c r="D28" s="11" t="s">
        <v>16</v>
      </c>
      <c r="E28" s="11">
        <v>30</v>
      </c>
      <c r="F28" s="16"/>
      <c r="G28" s="16"/>
      <c r="H28" s="16" t="s">
        <v>13</v>
      </c>
      <c r="I28" s="16"/>
      <c r="J28" s="11"/>
    </row>
    <row r="29" customFormat="1" spans="2:10">
      <c r="B29" s="14"/>
      <c r="C29" s="11" t="s">
        <v>51</v>
      </c>
      <c r="D29" s="11" t="s">
        <v>16</v>
      </c>
      <c r="E29" s="11">
        <v>180</v>
      </c>
      <c r="F29" s="16"/>
      <c r="G29" s="16"/>
      <c r="H29" s="16" t="s">
        <v>13</v>
      </c>
      <c r="I29" s="16"/>
      <c r="J29" s="11"/>
    </row>
    <row r="30" customFormat="1" spans="2:10">
      <c r="B30" s="14"/>
      <c r="C30" s="11" t="s">
        <v>42</v>
      </c>
      <c r="D30" s="11" t="s">
        <v>12</v>
      </c>
      <c r="E30" s="11"/>
      <c r="F30" s="16" t="s">
        <v>13</v>
      </c>
      <c r="G30" s="16"/>
      <c r="H30" s="16" t="s">
        <v>13</v>
      </c>
      <c r="I30" s="16"/>
      <c r="J30" s="11"/>
    </row>
    <row r="31" customFormat="1"/>
    <row r="32" customFormat="1" spans="2:10">
      <c r="B32" s="2" t="s">
        <v>52</v>
      </c>
      <c r="C32" s="4" t="s">
        <v>2</v>
      </c>
      <c r="D32" s="4" t="s">
        <v>3</v>
      </c>
      <c r="E32" s="4" t="s">
        <v>4</v>
      </c>
      <c r="F32" s="4" t="s">
        <v>5</v>
      </c>
      <c r="G32" s="4" t="s">
        <v>6</v>
      </c>
      <c r="H32" s="4" t="s">
        <v>7</v>
      </c>
      <c r="I32" s="4" t="s">
        <v>8</v>
      </c>
      <c r="J32" s="4" t="s">
        <v>9</v>
      </c>
    </row>
    <row r="33" customFormat="1" spans="2:10">
      <c r="B33" s="14"/>
      <c r="C33" s="15" t="s">
        <v>11</v>
      </c>
      <c r="D33" s="11" t="s">
        <v>12</v>
      </c>
      <c r="E33" s="11"/>
      <c r="F33" s="16" t="s">
        <v>13</v>
      </c>
      <c r="G33" s="16" t="s">
        <v>13</v>
      </c>
      <c r="H33" s="16" t="s">
        <v>13</v>
      </c>
      <c r="I33" s="16" t="s">
        <v>13</v>
      </c>
      <c r="J33" s="11"/>
    </row>
    <row r="34" customFormat="1" spans="2:10">
      <c r="B34" s="14"/>
      <c r="C34" s="11" t="s">
        <v>53</v>
      </c>
      <c r="D34" s="11" t="s">
        <v>16</v>
      </c>
      <c r="E34" s="11">
        <v>25</v>
      </c>
      <c r="F34" s="16"/>
      <c r="G34" s="16"/>
      <c r="H34" s="16" t="s">
        <v>13</v>
      </c>
      <c r="I34" s="16"/>
      <c r="J34" s="11"/>
    </row>
    <row r="35" customFormat="1" spans="2:10">
      <c r="B35" s="14"/>
      <c r="C35" s="11" t="s">
        <v>54</v>
      </c>
      <c r="D35" s="11" t="s">
        <v>16</v>
      </c>
      <c r="E35" s="11">
        <v>180</v>
      </c>
      <c r="F35" s="16"/>
      <c r="G35" s="16"/>
      <c r="H35" s="16" t="s">
        <v>13</v>
      </c>
      <c r="I35" s="16"/>
      <c r="J35" s="11"/>
    </row>
    <row r="36" customFormat="1" spans="2:10">
      <c r="B36" s="14"/>
      <c r="C36" s="11" t="s">
        <v>24</v>
      </c>
      <c r="D36" s="11" t="s">
        <v>24</v>
      </c>
      <c r="E36" s="11"/>
      <c r="F36" s="16"/>
      <c r="G36" s="16"/>
      <c r="H36" s="16" t="s">
        <v>13</v>
      </c>
      <c r="I36" s="16"/>
      <c r="J36" s="11"/>
    </row>
    <row r="37" customFormat="1" spans="2:10">
      <c r="B37" s="14"/>
      <c r="C37" s="11" t="s">
        <v>35</v>
      </c>
      <c r="D37" s="11" t="s">
        <v>35</v>
      </c>
      <c r="E37" s="11"/>
      <c r="F37" s="16"/>
      <c r="G37" s="16"/>
      <c r="H37" s="16" t="s">
        <v>13</v>
      </c>
      <c r="I37" s="16"/>
      <c r="J37" s="11"/>
    </row>
    <row r="38" customFormat="1" spans="2:10">
      <c r="B38" s="14"/>
      <c r="C38" s="11" t="s">
        <v>47</v>
      </c>
      <c r="D38" s="11" t="s">
        <v>12</v>
      </c>
      <c r="E38" s="11"/>
      <c r="F38" s="16" t="s">
        <v>13</v>
      </c>
      <c r="G38" s="16"/>
      <c r="H38" s="16" t="s">
        <v>13</v>
      </c>
      <c r="I38" s="16"/>
      <c r="J38" s="11" t="s">
        <v>55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B3:N24"/>
  <sheetViews>
    <sheetView zoomScale="120" zoomScaleNormal="120" workbookViewId="0">
      <selection activeCell="L8" sqref="L8"/>
    </sheetView>
  </sheetViews>
  <sheetFormatPr defaultColWidth="9" defaultRowHeight="15"/>
  <cols>
    <col min="1" max="1" width="3.71428571428571" customWidth="1"/>
    <col min="2" max="2" width="13.0952380952381" customWidth="1"/>
    <col min="3" max="3" width="8.65714285714286" customWidth="1"/>
    <col min="4" max="4" width="14" customWidth="1"/>
    <col min="5" max="5" width="15" customWidth="1"/>
    <col min="6" max="6" width="14" customWidth="1"/>
    <col min="7" max="8" width="11.1428571428571" customWidth="1"/>
    <col min="9" max="9" width="14" customWidth="1"/>
    <col min="10" max="10" width="14.8571428571429" customWidth="1"/>
    <col min="13" max="14" width="11.1428571428571" customWidth="1"/>
  </cols>
  <sheetData>
    <row r="3" ht="23.25" spans="2:10">
      <c r="B3" s="1" t="s">
        <v>56</v>
      </c>
    </row>
    <row r="5" spans="2:10">
      <c r="B5" s="10" t="s">
        <v>1</v>
      </c>
      <c r="C5" s="3" t="s">
        <v>57</v>
      </c>
      <c r="D5" s="4" t="s">
        <v>15</v>
      </c>
      <c r="E5" s="4" t="s">
        <v>58</v>
      </c>
      <c r="F5" s="4" t="s">
        <v>18</v>
      </c>
    </row>
    <row r="6" spans="2:10">
      <c r="C6" s="5">
        <v>1</v>
      </c>
      <c r="D6" s="6" t="s">
        <v>59</v>
      </c>
      <c r="E6" s="7" t="s">
        <v>60</v>
      </c>
      <c r="F6" s="9"/>
    </row>
    <row r="7" spans="2:10">
      <c r="C7" s="5">
        <v>2</v>
      </c>
      <c r="D7" s="6" t="s">
        <v>61</v>
      </c>
      <c r="E7" s="7" t="s">
        <v>62</v>
      </c>
      <c r="F7" s="9" t="s">
        <v>63</v>
      </c>
    </row>
    <row r="8" spans="2:10">
      <c r="C8" s="5">
        <v>3</v>
      </c>
      <c r="D8" s="6" t="s">
        <v>64</v>
      </c>
      <c r="E8" s="7" t="s">
        <v>65</v>
      </c>
      <c r="F8" s="9"/>
    </row>
    <row r="9" spans="2:10">
      <c r="C9" s="5">
        <v>4</v>
      </c>
      <c r="D9" s="6" t="s">
        <v>66</v>
      </c>
      <c r="E9" s="7" t="s">
        <v>67</v>
      </c>
      <c r="F9" s="9" t="s">
        <v>68</v>
      </c>
    </row>
    <row r="16" spans="2:10">
      <c r="B16" s="10" t="s">
        <v>19</v>
      </c>
      <c r="C16" s="3" t="s">
        <v>57</v>
      </c>
      <c r="D16" s="4" t="s">
        <v>69</v>
      </c>
      <c r="E16" s="4" t="s">
        <v>21</v>
      </c>
      <c r="F16" s="4" t="s">
        <v>22</v>
      </c>
      <c r="G16" s="4" t="s">
        <v>23</v>
      </c>
      <c r="H16" s="4" t="s">
        <v>25</v>
      </c>
      <c r="I16" s="4" t="s">
        <v>18</v>
      </c>
      <c r="J16" s="4" t="s">
        <v>70</v>
      </c>
    </row>
    <row r="17" spans="3:14">
      <c r="C17" s="5">
        <v>1</v>
      </c>
      <c r="D17" s="7" t="s">
        <v>71</v>
      </c>
      <c r="E17" s="7" t="s">
        <v>72</v>
      </c>
      <c r="F17" s="7" t="s">
        <v>73</v>
      </c>
      <c r="G17" s="9" t="s">
        <v>74</v>
      </c>
      <c r="H17" s="9" t="s">
        <v>75</v>
      </c>
      <c r="I17" s="9" t="s">
        <v>76</v>
      </c>
      <c r="J17" s="5">
        <v>1</v>
      </c>
      <c r="M17" t="str">
        <f ca="1" t="shared" ref="M17:M24" si="0">CONCATENATE(RANDBETWEEN(1990,2020),"-",TEXT(RANDBETWEEN(1,12),"00"),"-",TEXT(RANDBETWEEN(1,28),"00"))</f>
        <v>2014-08-27</v>
      </c>
      <c r="N17" t="str">
        <f ca="1" t="shared" ref="N17:N24" si="1">CONCATENATE(RANDBETWEEN(2020,2023),"-",TEXT(RANDBETWEEN(1,12),"00"),"-",TEXT(RANDBETWEEN(1,28),"00"))</f>
        <v>2022-05-08</v>
      </c>
    </row>
    <row r="18" spans="3:14">
      <c r="C18" s="5">
        <v>2</v>
      </c>
      <c r="D18" s="7" t="s">
        <v>77</v>
      </c>
      <c r="E18" s="7" t="s">
        <v>78</v>
      </c>
      <c r="F18" s="7" t="s">
        <v>79</v>
      </c>
      <c r="G18" s="9" t="s">
        <v>80</v>
      </c>
      <c r="H18" s="9" t="s">
        <v>81</v>
      </c>
      <c r="I18" s="9" t="s">
        <v>82</v>
      </c>
      <c r="J18" s="5">
        <v>3</v>
      </c>
      <c r="M18" t="str">
        <f ca="1" t="shared" si="0"/>
        <v>1994-05-19</v>
      </c>
      <c r="N18" t="str">
        <f ca="1" t="shared" si="1"/>
        <v>2022-09-08</v>
      </c>
    </row>
    <row r="19" spans="3:14">
      <c r="C19" s="5">
        <v>3</v>
      </c>
      <c r="D19" s="7" t="s">
        <v>83</v>
      </c>
      <c r="E19" s="7" t="s">
        <v>84</v>
      </c>
      <c r="F19" s="7" t="s">
        <v>79</v>
      </c>
      <c r="G19" s="9" t="s">
        <v>85</v>
      </c>
      <c r="H19" s="9" t="s">
        <v>86</v>
      </c>
      <c r="I19" s="9" t="s">
        <v>87</v>
      </c>
      <c r="J19" s="5">
        <v>2</v>
      </c>
      <c r="M19" t="str">
        <f ca="1" t="shared" si="0"/>
        <v>1997-09-28</v>
      </c>
      <c r="N19" t="str">
        <f ca="1" t="shared" si="1"/>
        <v>2023-01-14</v>
      </c>
    </row>
    <row r="20" spans="3:14">
      <c r="C20" s="5">
        <v>4</v>
      </c>
      <c r="D20" s="7" t="s">
        <v>88</v>
      </c>
      <c r="E20" s="7" t="s">
        <v>89</v>
      </c>
      <c r="F20" s="7" t="s">
        <v>90</v>
      </c>
      <c r="G20" s="9" t="s">
        <v>91</v>
      </c>
      <c r="H20" s="9" t="s">
        <v>92</v>
      </c>
      <c r="I20" s="9" t="s">
        <v>93</v>
      </c>
      <c r="J20" s="5">
        <v>1</v>
      </c>
      <c r="M20" t="str">
        <f ca="1" t="shared" si="0"/>
        <v>1997-07-09</v>
      </c>
      <c r="N20" t="str">
        <f ca="1" t="shared" si="1"/>
        <v>2021-07-25</v>
      </c>
    </row>
    <row r="21" spans="3:14">
      <c r="C21" s="5">
        <v>5</v>
      </c>
      <c r="D21" s="7" t="s">
        <v>94</v>
      </c>
      <c r="E21" s="7" t="s">
        <v>95</v>
      </c>
      <c r="F21" s="7" t="s">
        <v>90</v>
      </c>
      <c r="G21" s="9" t="s">
        <v>96</v>
      </c>
      <c r="H21" s="9" t="s">
        <v>97</v>
      </c>
      <c r="I21" s="9" t="s">
        <v>98</v>
      </c>
      <c r="J21" s="5">
        <v>4</v>
      </c>
      <c r="M21" t="str">
        <f ca="1" t="shared" si="0"/>
        <v>1991-06-14</v>
      </c>
      <c r="N21" t="str">
        <f ca="1" t="shared" si="1"/>
        <v>2020-06-04</v>
      </c>
    </row>
    <row r="22" spans="3:14">
      <c r="C22" s="5">
        <v>6</v>
      </c>
      <c r="D22" s="7" t="s">
        <v>99</v>
      </c>
      <c r="E22" s="7" t="s">
        <v>100</v>
      </c>
      <c r="F22" s="7" t="s">
        <v>101</v>
      </c>
      <c r="G22" s="9" t="s">
        <v>102</v>
      </c>
      <c r="H22" s="9" t="s">
        <v>103</v>
      </c>
      <c r="I22" s="9" t="s">
        <v>104</v>
      </c>
      <c r="J22" s="5">
        <v>2</v>
      </c>
      <c r="M22" t="str">
        <f ca="1" t="shared" si="0"/>
        <v>1994-05-17</v>
      </c>
      <c r="N22" t="str">
        <f ca="1" t="shared" si="1"/>
        <v>2023-05-28</v>
      </c>
    </row>
    <row r="23" spans="3:14">
      <c r="C23" s="5">
        <v>7</v>
      </c>
      <c r="D23" s="7" t="s">
        <v>105</v>
      </c>
      <c r="E23" s="7" t="s">
        <v>106</v>
      </c>
      <c r="F23" s="7" t="s">
        <v>107</v>
      </c>
      <c r="G23" s="9" t="s">
        <v>108</v>
      </c>
      <c r="H23" s="9" t="s">
        <v>109</v>
      </c>
      <c r="I23" s="9" t="s">
        <v>110</v>
      </c>
      <c r="J23" s="5">
        <v>3</v>
      </c>
      <c r="M23" t="str">
        <f ca="1" t="shared" si="0"/>
        <v>2001-02-05</v>
      </c>
      <c r="N23" t="str">
        <f ca="1" t="shared" si="1"/>
        <v>2020-07-14</v>
      </c>
    </row>
    <row r="24" spans="3:14">
      <c r="C24" s="5">
        <v>8</v>
      </c>
      <c r="D24" s="7" t="s">
        <v>111</v>
      </c>
      <c r="E24" s="7" t="s">
        <v>112</v>
      </c>
      <c r="F24" s="7" t="s">
        <v>113</v>
      </c>
      <c r="G24" s="9" t="s">
        <v>114</v>
      </c>
      <c r="H24" s="9" t="s">
        <v>115</v>
      </c>
      <c r="I24" s="9" t="s">
        <v>116</v>
      </c>
      <c r="J24" s="5">
        <v>3</v>
      </c>
      <c r="M24" t="str">
        <f ca="1" t="shared" si="0"/>
        <v>1992-06-01</v>
      </c>
      <c r="N24" t="str">
        <f ca="1" t="shared" si="1"/>
        <v>2022-01-17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B1:I54"/>
  <sheetViews>
    <sheetView tabSelected="1" workbookViewId="0">
      <selection activeCell="L42" sqref="L42"/>
    </sheetView>
  </sheetViews>
  <sheetFormatPr defaultColWidth="9" defaultRowHeight="15"/>
  <cols>
    <col min="1" max="1" width="3.71428571428571" customWidth="1"/>
    <col min="2" max="2" width="13" customWidth="1"/>
    <col min="3" max="3" width="7.42857142857143" customWidth="1"/>
    <col min="4" max="5" width="13.4285714285714" customWidth="1"/>
    <col min="6" max="6" width="24" customWidth="1"/>
    <col min="7" max="8" width="13.4285714285714" customWidth="1"/>
    <col min="9" max="9" width="8.14285714285714" customWidth="1"/>
  </cols>
  <sheetData>
    <row r="1" ht="23.25" spans="2:9">
      <c r="B1" s="1" t="s">
        <v>56</v>
      </c>
    </row>
    <row r="3" spans="2:9">
      <c r="B3" s="2" t="s">
        <v>31</v>
      </c>
      <c r="C3" s="3" t="s">
        <v>57</v>
      </c>
      <c r="D3" s="4" t="s">
        <v>21</v>
      </c>
      <c r="E3" s="4" t="s">
        <v>22</v>
      </c>
      <c r="F3" s="4" t="s">
        <v>33</v>
      </c>
    </row>
    <row r="4" spans="2:9">
      <c r="C4" s="5">
        <v>1</v>
      </c>
      <c r="D4" s="6" t="s">
        <v>117</v>
      </c>
      <c r="E4" s="7" t="s">
        <v>118</v>
      </c>
      <c r="F4" s="8" t="s">
        <v>119</v>
      </c>
    </row>
    <row r="5" spans="2:9">
      <c r="C5" s="5">
        <v>2</v>
      </c>
      <c r="D5" s="6"/>
      <c r="E5" s="7"/>
      <c r="F5" s="9"/>
    </row>
    <row r="6" spans="2:9">
      <c r="C6" s="5">
        <v>3</v>
      </c>
      <c r="D6" s="6"/>
      <c r="E6" s="7"/>
      <c r="F6" s="9"/>
    </row>
    <row r="7" spans="2:9">
      <c r="C7" s="5">
        <v>4</v>
      </c>
      <c r="D7" s="6"/>
      <c r="E7" s="7"/>
      <c r="F7" s="9"/>
    </row>
    <row r="11" spans="2:9">
      <c r="B11" s="10" t="s">
        <v>34</v>
      </c>
      <c r="C11" s="3" t="s">
        <v>57</v>
      </c>
      <c r="D11" s="11" t="s">
        <v>24</v>
      </c>
      <c r="E11" s="11" t="s">
        <v>35</v>
      </c>
      <c r="F11" s="11" t="s">
        <v>36</v>
      </c>
      <c r="G11" s="11" t="s">
        <v>37</v>
      </c>
      <c r="H11" s="11" t="s">
        <v>38</v>
      </c>
      <c r="I11" s="4" t="s">
        <v>39</v>
      </c>
    </row>
    <row r="12" spans="2:9">
      <c r="C12" s="5">
        <v>1</v>
      </c>
      <c r="D12" s="12">
        <v>45726</v>
      </c>
      <c r="E12" s="13">
        <v>0.4375</v>
      </c>
      <c r="F12" s="7"/>
      <c r="G12" s="9"/>
      <c r="H12" s="9"/>
      <c r="I12" s="5">
        <f>+C4</f>
        <v>1</v>
      </c>
    </row>
    <row r="13" spans="2:9">
      <c r="C13" s="5">
        <v>2</v>
      </c>
      <c r="D13" s="7"/>
      <c r="E13" s="7"/>
      <c r="F13" s="7"/>
      <c r="G13" s="9"/>
      <c r="H13" s="9"/>
      <c r="I13" s="5"/>
    </row>
    <row r="14" spans="2:9">
      <c r="C14" s="5">
        <v>3</v>
      </c>
      <c r="D14" s="7"/>
      <c r="E14" s="7"/>
      <c r="F14" s="7"/>
      <c r="G14" s="9"/>
      <c r="H14" s="9"/>
      <c r="I14" s="5"/>
    </row>
    <row r="15" spans="2:9">
      <c r="C15" s="5">
        <v>4</v>
      </c>
      <c r="D15" s="7"/>
      <c r="E15" s="7"/>
      <c r="F15" s="7"/>
      <c r="G15" s="9"/>
      <c r="H15" s="9"/>
      <c r="I15" s="5"/>
    </row>
    <row r="16" spans="2:9">
      <c r="C16" s="5">
        <v>5</v>
      </c>
      <c r="D16" s="7"/>
      <c r="E16" s="7"/>
      <c r="F16" s="7"/>
      <c r="G16" s="9"/>
      <c r="H16" s="9"/>
      <c r="I16" s="5"/>
    </row>
    <row r="17" spans="2:9">
      <c r="C17" s="5">
        <v>6</v>
      </c>
      <c r="D17" s="7"/>
      <c r="E17" s="7"/>
      <c r="F17" s="7"/>
      <c r="G17" s="9"/>
      <c r="H17" s="9"/>
      <c r="I17" s="5"/>
    </row>
    <row r="18" spans="2:9">
      <c r="C18" s="5">
        <v>7</v>
      </c>
      <c r="D18" s="7"/>
      <c r="E18" s="7"/>
      <c r="F18" s="7"/>
      <c r="G18" s="9"/>
      <c r="H18" s="9"/>
      <c r="I18" s="5"/>
    </row>
    <row r="19" spans="2:9">
      <c r="C19" s="5">
        <v>8</v>
      </c>
      <c r="D19" s="7"/>
      <c r="E19" s="7"/>
      <c r="F19" s="7"/>
      <c r="G19" s="9"/>
      <c r="H19" s="9"/>
      <c r="I19" s="5"/>
    </row>
    <row r="22" spans="2:9">
      <c r="B22" s="10" t="s">
        <v>120</v>
      </c>
      <c r="C22" s="3" t="s">
        <v>57</v>
      </c>
      <c r="D22" s="11" t="s">
        <v>42</v>
      </c>
      <c r="E22" s="11" t="s">
        <v>43</v>
      </c>
      <c r="F22" s="11" t="s">
        <v>44</v>
      </c>
      <c r="G22" s="4" t="s">
        <v>45</v>
      </c>
    </row>
    <row r="23" spans="2:9">
      <c r="C23" s="5">
        <v>1</v>
      </c>
      <c r="D23" s="7">
        <v>25</v>
      </c>
      <c r="E23" s="7">
        <v>2</v>
      </c>
      <c r="F23" s="7">
        <f>+E23*D23</f>
        <v>50</v>
      </c>
      <c r="G23" s="5">
        <f>+C12</f>
        <v>1</v>
      </c>
    </row>
    <row r="24" spans="2:9">
      <c r="C24" s="5">
        <v>2</v>
      </c>
      <c r="D24" s="7"/>
      <c r="E24" s="7"/>
      <c r="F24" s="7"/>
      <c r="G24" s="5"/>
    </row>
    <row r="25" spans="2:9">
      <c r="C25" s="5">
        <v>3</v>
      </c>
      <c r="D25" s="7"/>
      <c r="E25" s="7"/>
      <c r="F25" s="7"/>
      <c r="G25" s="5"/>
    </row>
    <row r="26" spans="2:9">
      <c r="C26" s="5">
        <v>4</v>
      </c>
      <c r="D26" s="7"/>
      <c r="E26" s="7"/>
      <c r="F26" s="7"/>
      <c r="G26" s="5"/>
    </row>
    <row r="27" spans="2:9">
      <c r="C27" s="5">
        <v>5</v>
      </c>
      <c r="D27" s="7"/>
      <c r="E27" s="7"/>
      <c r="F27" s="7"/>
      <c r="G27" s="5"/>
    </row>
    <row r="28" spans="2:9">
      <c r="C28" s="5">
        <v>6</v>
      </c>
      <c r="D28" s="7"/>
      <c r="E28" s="7"/>
      <c r="F28" s="7"/>
      <c r="G28" s="5"/>
    </row>
    <row r="29" spans="2:9">
      <c r="C29" s="5">
        <v>7</v>
      </c>
      <c r="D29" s="7"/>
      <c r="E29" s="7"/>
      <c r="F29" s="7"/>
      <c r="G29" s="5"/>
    </row>
    <row r="30" spans="2:9">
      <c r="C30" s="5">
        <v>8</v>
      </c>
      <c r="D30" s="7"/>
      <c r="E30" s="7"/>
      <c r="F30" s="7"/>
      <c r="G30" s="5"/>
    </row>
    <row r="35" spans="2:8">
      <c r="B35" s="10" t="s">
        <v>49</v>
      </c>
      <c r="C35" s="3" t="s">
        <v>57</v>
      </c>
      <c r="D35" s="11" t="s">
        <v>21</v>
      </c>
      <c r="E35" s="11" t="s">
        <v>50</v>
      </c>
      <c r="F35" s="11" t="s">
        <v>51</v>
      </c>
      <c r="G35" s="11" t="s">
        <v>42</v>
      </c>
    </row>
    <row r="36" spans="2:8">
      <c r="C36" s="5">
        <v>1</v>
      </c>
      <c r="D36" s="7" t="s">
        <v>121</v>
      </c>
      <c r="E36" s="7" t="s">
        <v>122</v>
      </c>
      <c r="F36" s="7" t="s">
        <v>123</v>
      </c>
      <c r="G36" s="9">
        <v>25</v>
      </c>
    </row>
    <row r="37" spans="2:8">
      <c r="C37" s="5">
        <v>2</v>
      </c>
      <c r="D37" s="7"/>
      <c r="E37" s="7"/>
      <c r="F37" s="7"/>
      <c r="G37" s="9"/>
    </row>
    <row r="38" spans="2:8">
      <c r="C38" s="5">
        <v>3</v>
      </c>
      <c r="D38" s="7"/>
      <c r="E38" s="7"/>
      <c r="F38" s="7"/>
      <c r="G38" s="9"/>
    </row>
    <row r="39" spans="2:8">
      <c r="C39" s="5">
        <v>4</v>
      </c>
      <c r="D39" s="7"/>
      <c r="E39" s="7"/>
      <c r="F39" s="7"/>
      <c r="G39" s="9"/>
    </row>
    <row r="40" spans="2:8">
      <c r="C40" s="5">
        <v>5</v>
      </c>
      <c r="D40" s="7"/>
      <c r="E40" s="7"/>
      <c r="F40" s="7"/>
      <c r="G40" s="9"/>
    </row>
    <row r="41" spans="2:8">
      <c r="C41" s="5">
        <v>6</v>
      </c>
      <c r="D41" s="7"/>
      <c r="E41" s="7"/>
      <c r="F41" s="7"/>
      <c r="G41" s="9"/>
    </row>
    <row r="42" spans="2:8">
      <c r="C42" s="5">
        <v>7</v>
      </c>
      <c r="D42" s="7"/>
      <c r="E42" s="7"/>
      <c r="F42" s="7"/>
      <c r="G42" s="9"/>
    </row>
    <row r="43" spans="2:8">
      <c r="C43" s="5">
        <v>8</v>
      </c>
      <c r="D43" s="7"/>
      <c r="E43" s="7"/>
      <c r="F43" s="7"/>
      <c r="G43" s="9"/>
    </row>
    <row r="46" spans="2:8">
      <c r="B46" s="10" t="s">
        <v>52</v>
      </c>
      <c r="C46" s="3" t="s">
        <v>57</v>
      </c>
      <c r="D46" s="11" t="s">
        <v>53</v>
      </c>
      <c r="E46" s="11" t="s">
        <v>54</v>
      </c>
      <c r="F46" s="11" t="s">
        <v>24</v>
      </c>
      <c r="G46" s="11" t="s">
        <v>35</v>
      </c>
      <c r="H46" s="4" t="s">
        <v>47</v>
      </c>
    </row>
    <row r="47" spans="2:8">
      <c r="C47" s="5">
        <v>1</v>
      </c>
      <c r="D47" s="7" t="s">
        <v>124</v>
      </c>
      <c r="E47" s="7" t="s">
        <v>125</v>
      </c>
      <c r="F47" s="12">
        <v>45726</v>
      </c>
      <c r="G47" s="13">
        <v>0.4375</v>
      </c>
      <c r="H47" s="5">
        <f>+C36</f>
        <v>1</v>
      </c>
    </row>
    <row r="48" spans="2:8">
      <c r="C48" s="5">
        <v>2</v>
      </c>
      <c r="D48" s="7"/>
      <c r="E48" s="7"/>
      <c r="F48" s="7"/>
      <c r="G48" s="9"/>
      <c r="H48" s="5"/>
    </row>
    <row r="49" spans="3:8">
      <c r="C49" s="5">
        <v>3</v>
      </c>
      <c r="D49" s="7"/>
      <c r="E49" s="7"/>
      <c r="F49" s="7"/>
      <c r="G49" s="9"/>
      <c r="H49" s="5"/>
    </row>
    <row r="50" spans="3:8">
      <c r="C50" s="5">
        <v>4</v>
      </c>
      <c r="D50" s="7"/>
      <c r="E50" s="7"/>
      <c r="F50" s="7"/>
      <c r="G50" s="9"/>
      <c r="H50" s="5"/>
    </row>
    <row r="51" spans="3:8">
      <c r="C51" s="5">
        <v>5</v>
      </c>
      <c r="D51" s="7"/>
      <c r="E51" s="7"/>
      <c r="F51" s="7"/>
      <c r="G51" s="9"/>
      <c r="H51" s="5"/>
    </row>
    <row r="52" spans="3:8">
      <c r="C52" s="5">
        <v>6</v>
      </c>
      <c r="D52" s="7"/>
      <c r="E52" s="7"/>
      <c r="F52" s="7"/>
      <c r="G52" s="9"/>
      <c r="H52" s="5"/>
    </row>
    <row r="53" spans="3:8">
      <c r="C53" s="5">
        <v>7</v>
      </c>
      <c r="D53" s="7"/>
      <c r="E53" s="7"/>
      <c r="F53" s="7"/>
      <c r="G53" s="9"/>
      <c r="H53" s="5"/>
    </row>
    <row r="54" spans="3:8">
      <c r="C54" s="5">
        <v>8</v>
      </c>
      <c r="D54" s="7"/>
      <c r="E54" s="7"/>
      <c r="F54" s="7"/>
      <c r="G54" s="9"/>
      <c r="H54" s="5"/>
    </row>
  </sheetData>
  <hyperlinks>
    <hyperlink ref="F4" r:id="rId1" display="arq.alejandroh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Schema</vt:lpstr>
      <vt:lpstr>Schema Coffe</vt:lpstr>
      <vt:lpstr>C. Datos</vt:lpstr>
      <vt:lpstr>C. Datos Coffe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PILARES</cp:lastModifiedBy>
  <dcterms:created xsi:type="dcterms:W3CDTF">2025-07-26T21:41:00Z</dcterms:created>
  <dcterms:modified xsi:type="dcterms:W3CDTF">2026-05-27T20:03:57Z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A1041F153A1948E5A0F5D64707118CFC_12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